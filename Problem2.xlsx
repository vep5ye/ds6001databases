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criptions" sheetId="1" r:id="rId4"/>
    <sheet state="visible" name="Manufacturers" sheetId="2" r:id="rId5"/>
    <sheet state="visible" name="Drugs" sheetId="3" r:id="rId6"/>
    <sheet state="visible" name="Patients" sheetId="4" r:id="rId7"/>
    <sheet state="visible" name="Physicians" sheetId="5" r:id="rId8"/>
    <sheet state="visible" name="Hospitals" sheetId="6" r:id="rId9"/>
    <sheet state="visible" name="Conditions" sheetId="7" r:id="rId10"/>
    <sheet state="visible" name="PatientConditions" sheetId="8" r:id="rId11"/>
  </sheets>
  <definedNames/>
  <calcPr/>
</workbook>
</file>

<file path=xl/sharedStrings.xml><?xml version="1.0" encoding="utf-8"?>
<sst xmlns="http://schemas.openxmlformats.org/spreadsheetml/2006/main" count="119" uniqueCount="81">
  <si>
    <t>prescription_id</t>
  </si>
  <si>
    <t>patient_id</t>
  </si>
  <si>
    <t>drug_id</t>
  </si>
  <si>
    <t>physician_id</t>
  </si>
  <si>
    <t>hospital_id</t>
  </si>
  <si>
    <t>drug_cost</t>
  </si>
  <si>
    <t>manufacturer_id</t>
  </si>
  <si>
    <t>manufacturer_name</t>
  </si>
  <si>
    <t>USAntibiotics</t>
  </si>
  <si>
    <t>Pfizer</t>
  </si>
  <si>
    <t>Baxter International Inc</t>
  </si>
  <si>
    <t>Abbvie</t>
  </si>
  <si>
    <t>Mylan Pharmaceuticals</t>
  </si>
  <si>
    <t>Genentech</t>
  </si>
  <si>
    <t>prescribed_drug</t>
  </si>
  <si>
    <t>Amoxil</t>
  </si>
  <si>
    <t>Micronase</t>
  </si>
  <si>
    <t>Zosyn</t>
  </si>
  <si>
    <t>Humira</t>
  </si>
  <si>
    <t>Inlyta</t>
  </si>
  <si>
    <t>Atenolol</t>
  </si>
  <si>
    <t>Demerol</t>
  </si>
  <si>
    <t>Xeloda</t>
  </si>
  <si>
    <t>patient_name</t>
  </si>
  <si>
    <t>date_of_birth</t>
  </si>
  <si>
    <t>patient_sex</t>
  </si>
  <si>
    <t>patient_insurance</t>
  </si>
  <si>
    <t>Nkemdilim Arendonk</t>
  </si>
  <si>
    <t>M</t>
  </si>
  <si>
    <t>Aetna</t>
  </si>
  <si>
    <t>Raniero Coumans</t>
  </si>
  <si>
    <t>Cigna</t>
  </si>
  <si>
    <t>Mizuki Debenham</t>
  </si>
  <si>
    <t>F</t>
  </si>
  <si>
    <t>Kaiser Permanente</t>
  </si>
  <si>
    <t>Zoë De Witt</t>
  </si>
  <si>
    <t>Medicare</t>
  </si>
  <si>
    <t>Bonnie Hooper</t>
  </si>
  <si>
    <t>Blue Cross Blue Shield</t>
  </si>
  <si>
    <t>prescribing_physician</t>
  </si>
  <si>
    <t>physician_medschool</t>
  </si>
  <si>
    <t>physician_years_experience</t>
  </si>
  <si>
    <t>Earnest Caro</t>
  </si>
  <si>
    <t>University of California (Irvine)</t>
  </si>
  <si>
    <t>Pamela English</t>
  </si>
  <si>
    <t>University of Michigan</t>
  </si>
  <si>
    <t>Samantha Bergerson</t>
  </si>
  <si>
    <t>Johns Hopkins University</t>
  </si>
  <si>
    <t>Lewis Conti</t>
  </si>
  <si>
    <t>North Carolina State University</t>
  </si>
  <si>
    <t>Theresa Dahlmans</t>
  </si>
  <si>
    <t>Lake Erie College of Medicine</t>
  </si>
  <si>
    <t>Hilde Ali</t>
  </si>
  <si>
    <t>Colorado University Boulder</t>
  </si>
  <si>
    <t>Steven Garbutt</t>
  </si>
  <si>
    <t>Ohio State University</t>
  </si>
  <si>
    <t>hospital</t>
  </si>
  <si>
    <t>hospital_location</t>
  </si>
  <si>
    <t>UPMC Presbyterian Shadyside</t>
  </si>
  <si>
    <t>Pittsburgh, PA</t>
  </si>
  <si>
    <t>Northwestern Memorial Hospital</t>
  </si>
  <si>
    <t>Chicago, IL</t>
  </si>
  <si>
    <t>Houston Methodist Hospital</t>
  </si>
  <si>
    <t>Houston, TX</t>
  </si>
  <si>
    <t>Mount Sinai Hospital</t>
  </si>
  <si>
    <t>New York, NY</t>
  </si>
  <si>
    <t>UCSF Medical Center</t>
  </si>
  <si>
    <t>San Francisco, CA</t>
  </si>
  <si>
    <t>condition_id</t>
  </si>
  <si>
    <t>condition</t>
  </si>
  <si>
    <t>Pneumonia</t>
  </si>
  <si>
    <t>Diabetes</t>
  </si>
  <si>
    <t>Rubella</t>
  </si>
  <si>
    <t>Appendicitis</t>
  </si>
  <si>
    <t>Crohn's disease</t>
  </si>
  <si>
    <t>Mononucleosis</t>
  </si>
  <si>
    <t>Kidney Cancer</t>
  </si>
  <si>
    <t>Cardiomyopathy</t>
  </si>
  <si>
    <t>Sciatica</t>
  </si>
  <si>
    <t>Shingles</t>
  </si>
  <si>
    <t>Pancreatic Cancer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</si>
</sst>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8.88"/>
    <col customWidth="1" min="3" max="3" width="7.13"/>
    <col customWidth="1" min="4" max="4" width="11.13"/>
    <col customWidth="1" min="5" max="5" width="9.75"/>
    <col customWidth="1" min="6" max="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>
        <v>1.0</v>
      </c>
      <c r="B2" s="3">
        <v>1.0</v>
      </c>
      <c r="C2" s="3">
        <v>1.0</v>
      </c>
      <c r="D2" s="3">
        <v>1.0</v>
      </c>
      <c r="E2" s="3">
        <v>1.0</v>
      </c>
      <c r="F2" s="3">
        <v>14.62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4">
        <v>2.0</v>
      </c>
      <c r="B3" s="3">
        <v>1.0</v>
      </c>
      <c r="C3" s="3">
        <v>2.0</v>
      </c>
      <c r="D3" s="3">
        <v>1.0</v>
      </c>
      <c r="E3" s="3">
        <v>1.0</v>
      </c>
      <c r="F3" s="3">
        <v>20.55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4">
        <v>3.0</v>
      </c>
      <c r="B4" s="3">
        <v>2.0</v>
      </c>
      <c r="C4" s="3">
        <v>3.0</v>
      </c>
      <c r="D4" s="3">
        <v>2.0</v>
      </c>
      <c r="E4" s="3">
        <v>2.0</v>
      </c>
      <c r="F4" s="3">
        <v>394.0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4">
        <v>4.0</v>
      </c>
      <c r="B5" s="3">
        <v>2.0</v>
      </c>
      <c r="C5" s="3">
        <v>4.0</v>
      </c>
      <c r="D5" s="3">
        <v>3.0</v>
      </c>
      <c r="E5" s="3">
        <v>2.0</v>
      </c>
      <c r="F5" s="3">
        <v>7000.0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4">
        <v>5.0</v>
      </c>
      <c r="B6" s="3">
        <v>3.0</v>
      </c>
      <c r="C6" s="3">
        <v>5.0</v>
      </c>
      <c r="D6" s="3">
        <v>4.0</v>
      </c>
      <c r="E6" s="3">
        <v>3.0</v>
      </c>
      <c r="F6" s="3">
        <v>21644.0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4">
        <v>6.0</v>
      </c>
      <c r="B7" s="3">
        <v>4.0</v>
      </c>
      <c r="C7" s="3">
        <v>6.0</v>
      </c>
      <c r="D7" s="3">
        <v>5.0</v>
      </c>
      <c r="E7" s="3">
        <v>4.0</v>
      </c>
      <c r="F7" s="3">
        <v>10.58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4">
        <v>7.0</v>
      </c>
      <c r="B8" s="3">
        <v>4.0</v>
      </c>
      <c r="C8" s="3">
        <v>2.0</v>
      </c>
      <c r="D8" s="3">
        <v>6.0</v>
      </c>
      <c r="E8" s="3">
        <v>4.0</v>
      </c>
      <c r="F8" s="3">
        <v>20.55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4">
        <v>8.0</v>
      </c>
      <c r="B9" s="3">
        <v>4.0</v>
      </c>
      <c r="C9" s="3">
        <v>7.0</v>
      </c>
      <c r="D9" s="3">
        <v>6.0</v>
      </c>
      <c r="E9" s="3">
        <v>4.0</v>
      </c>
      <c r="F9" s="3">
        <v>37.5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4">
        <v>9.0</v>
      </c>
      <c r="B10" s="3">
        <v>5.0</v>
      </c>
      <c r="C10" s="3">
        <v>8.0</v>
      </c>
      <c r="D10" s="3">
        <v>7.0</v>
      </c>
      <c r="E10" s="3">
        <v>5.0</v>
      </c>
      <c r="F10" s="3">
        <v>860.0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4">
        <v>10.0</v>
      </c>
      <c r="B11" s="3">
        <v>5.0</v>
      </c>
      <c r="C11" s="3">
        <v>7.0</v>
      </c>
      <c r="D11" s="3">
        <v>7.0</v>
      </c>
      <c r="E11" s="3">
        <v>5.0</v>
      </c>
      <c r="F11" s="3">
        <v>37.5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8.25"/>
  </cols>
  <sheetData>
    <row r="1">
      <c r="A1" s="5" t="s">
        <v>6</v>
      </c>
      <c r="B1" s="5" t="s">
        <v>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>
        <v>1.0</v>
      </c>
      <c r="B2" s="3" t="s">
        <v>8</v>
      </c>
    </row>
    <row r="3">
      <c r="A3" s="4">
        <v>2.0</v>
      </c>
      <c r="B3" s="3" t="s">
        <v>9</v>
      </c>
    </row>
    <row r="4">
      <c r="A4" s="4">
        <v>3.0</v>
      </c>
      <c r="B4" s="3" t="s">
        <v>10</v>
      </c>
    </row>
    <row r="5">
      <c r="A5" s="4">
        <v>4.0</v>
      </c>
      <c r="B5" s="3" t="s">
        <v>11</v>
      </c>
    </row>
    <row r="6">
      <c r="A6" s="4">
        <v>5.0</v>
      </c>
      <c r="B6" s="3" t="s">
        <v>12</v>
      </c>
    </row>
    <row r="7">
      <c r="A7" s="4">
        <v>6.0</v>
      </c>
      <c r="B7" s="3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13"/>
    <col customWidth="1" min="3" max="3" width="14.0"/>
  </cols>
  <sheetData>
    <row r="1">
      <c r="A1" s="1" t="s">
        <v>2</v>
      </c>
      <c r="B1" s="2" t="s">
        <v>14</v>
      </c>
      <c r="C1" s="5" t="s">
        <v>6</v>
      </c>
    </row>
    <row r="2">
      <c r="A2" s="4">
        <v>1.0</v>
      </c>
      <c r="B2" s="3" t="s">
        <v>15</v>
      </c>
      <c r="C2" s="7">
        <v>1.0</v>
      </c>
    </row>
    <row r="3">
      <c r="A3" s="4">
        <v>2.0</v>
      </c>
      <c r="B3" s="3" t="s">
        <v>16</v>
      </c>
      <c r="C3" s="7">
        <v>2.0</v>
      </c>
    </row>
    <row r="4">
      <c r="A4" s="4">
        <v>3.0</v>
      </c>
      <c r="B4" s="3" t="s">
        <v>17</v>
      </c>
      <c r="C4" s="7">
        <v>3.0</v>
      </c>
    </row>
    <row r="5">
      <c r="A5" s="4">
        <v>4.0</v>
      </c>
      <c r="B5" s="3" t="s">
        <v>18</v>
      </c>
      <c r="C5" s="7">
        <v>4.0</v>
      </c>
    </row>
    <row r="6">
      <c r="A6" s="4">
        <v>5.0</v>
      </c>
      <c r="B6" s="3" t="s">
        <v>19</v>
      </c>
      <c r="C6" s="7">
        <v>2.0</v>
      </c>
    </row>
    <row r="7">
      <c r="A7" s="4">
        <v>6.0</v>
      </c>
      <c r="B7" s="3" t="s">
        <v>20</v>
      </c>
      <c r="C7" s="7">
        <v>5.0</v>
      </c>
    </row>
    <row r="8">
      <c r="A8" s="4">
        <v>7.0</v>
      </c>
      <c r="B8" s="3" t="s">
        <v>21</v>
      </c>
      <c r="C8" s="7">
        <v>2.0</v>
      </c>
    </row>
    <row r="9">
      <c r="A9" s="4">
        <v>8.0</v>
      </c>
      <c r="B9" s="3" t="s">
        <v>22</v>
      </c>
      <c r="C9" s="7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38"/>
    <col customWidth="1" min="3" max="3" width="11.5"/>
    <col customWidth="1" min="4" max="4" width="10.13"/>
    <col customWidth="1" min="5" max="5" width="18.0"/>
  </cols>
  <sheetData>
    <row r="1">
      <c r="A1" s="1" t="s">
        <v>1</v>
      </c>
      <c r="B1" s="2" t="s">
        <v>23</v>
      </c>
      <c r="C1" s="2" t="s">
        <v>24</v>
      </c>
      <c r="D1" s="2" t="s">
        <v>25</v>
      </c>
      <c r="E1" s="2" t="s">
        <v>26</v>
      </c>
    </row>
    <row r="2">
      <c r="A2" s="4">
        <v>1.0</v>
      </c>
      <c r="B2" s="3" t="s">
        <v>27</v>
      </c>
      <c r="C2" s="8">
        <v>22698.0</v>
      </c>
      <c r="D2" s="3" t="s">
        <v>28</v>
      </c>
      <c r="E2" s="3" t="s">
        <v>29</v>
      </c>
    </row>
    <row r="3">
      <c r="A3" s="4">
        <v>2.0</v>
      </c>
      <c r="B3" s="3" t="s">
        <v>30</v>
      </c>
      <c r="C3" s="8">
        <v>33100.0</v>
      </c>
      <c r="D3" s="3" t="s">
        <v>28</v>
      </c>
      <c r="E3" s="3" t="s">
        <v>31</v>
      </c>
    </row>
    <row r="4">
      <c r="A4" s="4">
        <v>3.0</v>
      </c>
      <c r="B4" s="3" t="s">
        <v>32</v>
      </c>
      <c r="C4" s="8">
        <v>28196.0</v>
      </c>
      <c r="D4" s="3" t="s">
        <v>33</v>
      </c>
      <c r="E4" s="3" t="s">
        <v>34</v>
      </c>
    </row>
    <row r="5">
      <c r="A5" s="4">
        <v>4.0</v>
      </c>
      <c r="B5" s="3" t="s">
        <v>35</v>
      </c>
      <c r="C5" s="8">
        <v>17494.0</v>
      </c>
      <c r="D5" s="3" t="s">
        <v>33</v>
      </c>
      <c r="E5" s="3" t="s">
        <v>36</v>
      </c>
    </row>
    <row r="6">
      <c r="A6" s="4">
        <v>5.0</v>
      </c>
      <c r="B6" s="3" t="s">
        <v>37</v>
      </c>
      <c r="C6" s="8">
        <v>18813.0</v>
      </c>
      <c r="D6" s="3" t="s">
        <v>33</v>
      </c>
      <c r="E6" s="3" t="s">
        <v>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63"/>
    <col customWidth="1" min="3" max="3" width="23.88"/>
    <col customWidth="1" min="4" max="4" width="23.63"/>
  </cols>
  <sheetData>
    <row r="1">
      <c r="A1" s="1" t="s">
        <v>3</v>
      </c>
      <c r="B1" s="2" t="s">
        <v>39</v>
      </c>
      <c r="C1" s="2" t="s">
        <v>40</v>
      </c>
      <c r="D1" s="2" t="s">
        <v>41</v>
      </c>
    </row>
    <row r="2">
      <c r="A2" s="4">
        <v>1.0</v>
      </c>
      <c r="B2" s="3" t="s">
        <v>42</v>
      </c>
      <c r="C2" s="3" t="s">
        <v>43</v>
      </c>
      <c r="D2" s="9">
        <v>14.0</v>
      </c>
    </row>
    <row r="3">
      <c r="A3" s="4">
        <v>2.0</v>
      </c>
      <c r="B3" s="3" t="s">
        <v>44</v>
      </c>
      <c r="C3" s="3" t="s">
        <v>45</v>
      </c>
      <c r="D3" s="9">
        <v>29.0</v>
      </c>
    </row>
    <row r="4">
      <c r="A4" s="4">
        <v>3.0</v>
      </c>
      <c r="B4" s="3" t="s">
        <v>46</v>
      </c>
      <c r="C4" s="3" t="s">
        <v>47</v>
      </c>
      <c r="D4" s="9">
        <v>10.0</v>
      </c>
    </row>
    <row r="5">
      <c r="A5" s="4">
        <v>4.0</v>
      </c>
      <c r="B5" s="3" t="s">
        <v>48</v>
      </c>
      <c r="C5" s="3" t="s">
        <v>49</v>
      </c>
      <c r="D5" s="9">
        <v>8.0</v>
      </c>
    </row>
    <row r="6">
      <c r="A6" s="4">
        <v>5.0</v>
      </c>
      <c r="B6" s="3" t="s">
        <v>50</v>
      </c>
      <c r="C6" s="3" t="s">
        <v>51</v>
      </c>
      <c r="D6" s="9">
        <v>17.0</v>
      </c>
    </row>
    <row r="7">
      <c r="A7" s="4">
        <v>6.0</v>
      </c>
      <c r="B7" s="3" t="s">
        <v>52</v>
      </c>
      <c r="C7" s="3" t="s">
        <v>53</v>
      </c>
      <c r="D7" s="9">
        <v>11.0</v>
      </c>
    </row>
    <row r="8">
      <c r="A8" s="4">
        <v>7.0</v>
      </c>
      <c r="B8" s="3" t="s">
        <v>54</v>
      </c>
      <c r="C8" s="3" t="s">
        <v>55</v>
      </c>
      <c r="D8" s="9">
        <v>36.0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75"/>
    <col customWidth="1" min="3" max="3" width="14.88"/>
  </cols>
  <sheetData>
    <row r="1">
      <c r="A1" s="1" t="s">
        <v>4</v>
      </c>
      <c r="B1" s="2" t="s">
        <v>56</v>
      </c>
      <c r="C1" s="2" t="s">
        <v>57</v>
      </c>
    </row>
    <row r="2">
      <c r="A2" s="4">
        <v>1.0</v>
      </c>
      <c r="B2" s="3" t="s">
        <v>58</v>
      </c>
      <c r="C2" s="3" t="s">
        <v>59</v>
      </c>
    </row>
    <row r="3">
      <c r="A3" s="4">
        <v>2.0</v>
      </c>
      <c r="B3" s="3" t="s">
        <v>60</v>
      </c>
      <c r="C3" s="3" t="s">
        <v>61</v>
      </c>
    </row>
    <row r="4">
      <c r="A4" s="4">
        <v>3.0</v>
      </c>
      <c r="B4" s="3" t="s">
        <v>62</v>
      </c>
      <c r="C4" s="3" t="s">
        <v>63</v>
      </c>
    </row>
    <row r="5">
      <c r="A5" s="4">
        <v>4.0</v>
      </c>
      <c r="B5" s="3" t="s">
        <v>64</v>
      </c>
      <c r="C5" s="3" t="s">
        <v>65</v>
      </c>
    </row>
    <row r="6">
      <c r="A6" s="4">
        <v>5.0</v>
      </c>
      <c r="B6" s="3" t="s">
        <v>66</v>
      </c>
      <c r="C6" s="3" t="s">
        <v>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7" max="7" width="35.75"/>
  </cols>
  <sheetData>
    <row r="1">
      <c r="A1" s="5" t="s">
        <v>68</v>
      </c>
      <c r="B1" s="5" t="s">
        <v>69</v>
      </c>
    </row>
    <row r="2">
      <c r="A2" s="10">
        <v>1.0</v>
      </c>
      <c r="B2" s="10" t="s">
        <v>70</v>
      </c>
    </row>
    <row r="3">
      <c r="A3" s="10">
        <v>2.0</v>
      </c>
      <c r="B3" s="10" t="s">
        <v>71</v>
      </c>
    </row>
    <row r="4">
      <c r="A4" s="10">
        <v>3.0</v>
      </c>
      <c r="B4" s="10" t="s">
        <v>72</v>
      </c>
      <c r="G4" s="11"/>
    </row>
    <row r="5">
      <c r="A5" s="10">
        <v>4.0</v>
      </c>
      <c r="B5" s="10" t="s">
        <v>73</v>
      </c>
      <c r="G5" s="11"/>
    </row>
    <row r="6">
      <c r="A6" s="10">
        <v>5.0</v>
      </c>
      <c r="B6" s="10" t="s">
        <v>74</v>
      </c>
      <c r="G6" s="11"/>
    </row>
    <row r="7">
      <c r="A7" s="10">
        <v>6.0</v>
      </c>
      <c r="B7" s="10" t="s">
        <v>75</v>
      </c>
      <c r="G7" s="11"/>
    </row>
    <row r="8">
      <c r="A8" s="10">
        <v>7.0</v>
      </c>
      <c r="B8" s="10" t="s">
        <v>76</v>
      </c>
      <c r="G8" s="11"/>
    </row>
    <row r="9">
      <c r="A9" s="10">
        <v>8.0</v>
      </c>
      <c r="B9" s="10" t="s">
        <v>77</v>
      </c>
      <c r="G9" s="11"/>
    </row>
    <row r="10">
      <c r="A10" s="10">
        <v>9.0</v>
      </c>
      <c r="B10" s="10" t="s">
        <v>78</v>
      </c>
      <c r="G10" s="11"/>
    </row>
    <row r="11">
      <c r="A11" s="10">
        <v>10.0</v>
      </c>
      <c r="B11" s="10" t="s">
        <v>79</v>
      </c>
      <c r="G11" s="11"/>
    </row>
    <row r="12">
      <c r="A12" s="10">
        <v>11.0</v>
      </c>
      <c r="B12" s="10" t="s">
        <v>80</v>
      </c>
      <c r="G12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38"/>
    <col customWidth="1" hidden="1" min="3" max="3" width="16.38"/>
    <col customWidth="1" hidden="1" min="4" max="4" width="14.75"/>
    <col customWidth="1" min="9" max="9" width="35.75"/>
  </cols>
  <sheetData>
    <row r="1">
      <c r="A1" s="5" t="s">
        <v>1</v>
      </c>
      <c r="B1" s="5" t="s">
        <v>68</v>
      </c>
      <c r="C1" s="5" t="s">
        <v>23</v>
      </c>
      <c r="D1" s="5" t="s">
        <v>69</v>
      </c>
    </row>
    <row r="2">
      <c r="A2" s="3">
        <f t="array" ref="A2">XLOOKUP(C2,Patients!B:B,Patients!A:A)</f>
        <v>1</v>
      </c>
      <c r="B2" s="3">
        <f t="array" ref="B2">XLOOKUP(D:D,Conditions!B:B,Conditions!A:A)</f>
        <v>1</v>
      </c>
      <c r="C2" s="3" t="s">
        <v>27</v>
      </c>
      <c r="D2" s="10" t="s">
        <v>70</v>
      </c>
    </row>
    <row r="3">
      <c r="A3" s="3">
        <f t="array" ref="A3">XLOOKUP(C3,Patients!B:B,Patients!A:A)</f>
        <v>1</v>
      </c>
      <c r="B3" s="3">
        <f t="array" ref="B3">XLOOKUP(D:D,Conditions!B:B,Conditions!A:A)</f>
        <v>2</v>
      </c>
      <c r="C3" s="3" t="s">
        <v>27</v>
      </c>
      <c r="D3" s="10" t="s">
        <v>71</v>
      </c>
    </row>
    <row r="4">
      <c r="A4" s="3">
        <f t="array" ref="A4">XLOOKUP(C4,Patients!B:B,Patients!A:A)</f>
        <v>1</v>
      </c>
      <c r="B4" s="3">
        <f t="array" ref="B4">XLOOKUP(D:D,Conditions!B:B,Conditions!A:A)</f>
        <v>3</v>
      </c>
      <c r="C4" s="3" t="s">
        <v>27</v>
      </c>
      <c r="D4" s="10" t="s">
        <v>72</v>
      </c>
      <c r="I4" s="11"/>
    </row>
    <row r="5">
      <c r="A5" s="3">
        <f t="array" ref="A5">XLOOKUP(C5,Patients!B:B,Patients!A:A)</f>
        <v>2</v>
      </c>
      <c r="B5" s="3">
        <f t="array" ref="B5">XLOOKUP(D:D,Conditions!B:B,Conditions!A:A)</f>
        <v>4</v>
      </c>
      <c r="C5" s="11" t="s">
        <v>30</v>
      </c>
      <c r="D5" s="10" t="s">
        <v>73</v>
      </c>
      <c r="I5" s="11"/>
    </row>
    <row r="6">
      <c r="A6" s="3">
        <f t="array" ref="A6">XLOOKUP(C6,Patients!B:B,Patients!A:A)</f>
        <v>2</v>
      </c>
      <c r="B6" s="3">
        <f t="array" ref="B6">XLOOKUP(D:D,Conditions!B:B,Conditions!A:A)</f>
        <v>5</v>
      </c>
      <c r="C6" s="11" t="s">
        <v>30</v>
      </c>
      <c r="D6" s="10" t="s">
        <v>74</v>
      </c>
      <c r="I6" s="11"/>
    </row>
    <row r="7">
      <c r="A7" s="3">
        <f t="array" ref="A7">XLOOKUP(C7,Patients!B:B,Patients!A:A)</f>
        <v>2</v>
      </c>
      <c r="B7" s="3">
        <f t="array" ref="B7">XLOOKUP(D:D,Conditions!B:B,Conditions!A:A)</f>
        <v>6</v>
      </c>
      <c r="C7" s="11" t="s">
        <v>30</v>
      </c>
      <c r="D7" s="10" t="s">
        <v>75</v>
      </c>
      <c r="I7" s="11"/>
    </row>
    <row r="8">
      <c r="A8" s="3">
        <f t="array" ref="A8">XLOOKUP(C8,Patients!B:B,Patients!A:A)</f>
        <v>3</v>
      </c>
      <c r="B8" s="3">
        <f t="array" ref="B8">XLOOKUP(D:D,Conditions!B:B,Conditions!A:A)</f>
        <v>7</v>
      </c>
      <c r="C8" s="11" t="s">
        <v>32</v>
      </c>
      <c r="D8" s="10" t="s">
        <v>76</v>
      </c>
      <c r="I8" s="11"/>
    </row>
    <row r="9">
      <c r="A9" s="3">
        <f t="array" ref="A9">XLOOKUP(C9,Patients!B:B,Patients!A:A)</f>
        <v>4</v>
      </c>
      <c r="B9" s="3">
        <f t="array" ref="B9">XLOOKUP(D:D,Conditions!B:B,Conditions!A:A)</f>
        <v>8</v>
      </c>
      <c r="C9" s="11" t="s">
        <v>35</v>
      </c>
      <c r="D9" s="10" t="s">
        <v>77</v>
      </c>
      <c r="I9" s="11"/>
    </row>
    <row r="10">
      <c r="A10" s="3">
        <f t="array" ref="A10">XLOOKUP(C10,Patients!B:B,Patients!A:A)</f>
        <v>4</v>
      </c>
      <c r="B10" s="3">
        <f t="array" ref="B10">XLOOKUP(D:D,Conditions!B:B,Conditions!A:A)</f>
        <v>2</v>
      </c>
      <c r="C10" s="11" t="s">
        <v>35</v>
      </c>
      <c r="D10" s="10" t="s">
        <v>71</v>
      </c>
      <c r="I10" s="11"/>
    </row>
    <row r="11">
      <c r="A11" s="3">
        <f t="array" ref="A11">XLOOKUP(C11,Patients!B:B,Patients!A:A)</f>
        <v>4</v>
      </c>
      <c r="B11" s="3">
        <f t="array" ref="B11">XLOOKUP(D:D,Conditions!B:B,Conditions!A:A)</f>
        <v>9</v>
      </c>
      <c r="C11" s="11" t="s">
        <v>35</v>
      </c>
      <c r="D11" s="10" t="s">
        <v>78</v>
      </c>
      <c r="I11" s="11"/>
    </row>
    <row r="12">
      <c r="A12" s="3">
        <f t="array" ref="A12">XLOOKUP(C12,Patients!B:B,Patients!A:A)</f>
        <v>4</v>
      </c>
      <c r="B12" s="3">
        <f t="array" ref="B12">XLOOKUP(D:D,Conditions!B:B,Conditions!A:A)</f>
        <v>10</v>
      </c>
      <c r="C12" s="11" t="s">
        <v>35</v>
      </c>
      <c r="D12" s="10" t="s">
        <v>79</v>
      </c>
      <c r="I12" s="11"/>
    </row>
    <row r="13">
      <c r="A13" s="3">
        <f t="array" ref="A13">XLOOKUP(C13,Patients!B:B,Patients!A:A)</f>
        <v>5</v>
      </c>
      <c r="B13" s="3">
        <f t="array" ref="B13">XLOOKUP(D:D,Conditions!B:B,Conditions!A:A)</f>
        <v>11</v>
      </c>
      <c r="C13" s="11" t="s">
        <v>37</v>
      </c>
      <c r="D13" s="10" t="s">
        <v>80</v>
      </c>
      <c r="I13" s="11"/>
    </row>
    <row r="14">
      <c r="A14" s="3">
        <f t="array" ref="A14">XLOOKUP(C14,Patients!B:B,Patients!A:A)</f>
        <v>5</v>
      </c>
      <c r="B14" s="3">
        <f t="array" ref="B14">XLOOKUP(D:D,Conditions!B:B,Conditions!A:A)</f>
        <v>9</v>
      </c>
      <c r="C14" s="11" t="s">
        <v>37</v>
      </c>
      <c r="D14" s="10" t="s">
        <v>78</v>
      </c>
    </row>
  </sheetData>
  <drawing r:id="rId1"/>
</worksheet>
</file>